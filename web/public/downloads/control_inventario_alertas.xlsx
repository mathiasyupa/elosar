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ario Fármacos" sheetId="1" r:id="rId1"/>
  </sheets>
  <calcPr calcId="124519" fullCalcOnLoad="1"/>
</workbook>
</file>

<file path=xl/sharedStrings.xml><?xml version="1.0" encoding="utf-8"?>
<sst xmlns="http://schemas.openxmlformats.org/spreadsheetml/2006/main" count="54" uniqueCount="46">
  <si>
    <t>Control de Inventario y Alertas de Caducidad (ARCSA)</t>
  </si>
  <si>
    <t>Medicamento</t>
  </si>
  <si>
    <t>Presentación</t>
  </si>
  <si>
    <t>Lote</t>
  </si>
  <si>
    <t>Vencimiento</t>
  </si>
  <si>
    <t>Stock Actual</t>
  </si>
  <si>
    <t>Mínimo</t>
  </si>
  <si>
    <t>Días por Vencer</t>
  </si>
  <si>
    <t>Alerta ARCSA</t>
  </si>
  <si>
    <t>Paracetamol 500mg</t>
  </si>
  <si>
    <t>Caja x 100 tab</t>
  </si>
  <si>
    <t>L77631</t>
  </si>
  <si>
    <t>2027-10-15</t>
  </si>
  <si>
    <t>✅ SEGURO</t>
  </si>
  <si>
    <t>Amoxicilina 500mg</t>
  </si>
  <si>
    <t>Frasco jarabe</t>
  </si>
  <si>
    <t>A44912</t>
  </si>
  <si>
    <t>2026-08-01</t>
  </si>
  <si>
    <t>⚠️ CRÍTICO (&lt;30d)</t>
  </si>
  <si>
    <t>Ibuprofeno 400mg</t>
  </si>
  <si>
    <t>Caja x 30 cap</t>
  </si>
  <si>
    <t>I11029</t>
  </si>
  <si>
    <t>2026-05-10</t>
  </si>
  <si>
    <t>🚨 VENCIDO</t>
  </si>
  <si>
    <t>Diclofenaco Ampollas</t>
  </si>
  <si>
    <t>Caja x 5 amp</t>
  </si>
  <si>
    <t>D88231</t>
  </si>
  <si>
    <t>2026-11-30</t>
  </si>
  <si>
    <t>Omeprazol 20mg</t>
  </si>
  <si>
    <t>Caja x 28 cap</t>
  </si>
  <si>
    <t>O55112</t>
  </si>
  <si>
    <t>2028-02-15</t>
  </si>
  <si>
    <t>Complejo B Inyectable</t>
  </si>
  <si>
    <t>Frasco Ampolla</t>
  </si>
  <si>
    <t>B99234</t>
  </si>
  <si>
    <t>2026-07-28</t>
  </si>
  <si>
    <t>Loratadina 10mg</t>
  </si>
  <si>
    <t>Caja x 20 tab</t>
  </si>
  <si>
    <t>L55612</t>
  </si>
  <si>
    <t>2026-09-15</t>
  </si>
  <si>
    <t>⚠️ PREVENCIÓN (&lt;90d)</t>
  </si>
  <si>
    <t>Atorvastatina 20mg</t>
  </si>
  <si>
    <t>Caja x 30 tab</t>
  </si>
  <si>
    <t>A11200</t>
  </si>
  <si>
    <t>2026-06-01</t>
  </si>
  <si>
    <t>Estado General de Alertas</t>
  </si>
</sst>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sz val="11"/>
      <color theme="1"/>
      <name val="Calibri"/>
      <family val="2"/>
      <scheme val="minor"/>
    </font>
    <font>
      <b/>
      <sz val="16"/>
      <color rgb="FF0F766E"/>
      <name val="Segoe UI"/>
      <family val="2"/>
    </font>
    <font>
      <b/>
      <sz val="11"/>
      <color rgb="FFFFFFFF"/>
      <name val="Segoe UI"/>
      <family val="2"/>
    </font>
    <font>
      <b/>
      <sz val="11"/>
      <color rgb="FF0F766E"/>
      <name val="Segoe UI"/>
      <family val="2"/>
    </font>
    <font>
      <sz val="10"/>
      <color theme="1"/>
      <name val="Segoe UI"/>
      <family val="2"/>
    </font>
    <font>
      <b/>
      <sz val="10"/>
      <color rgb="FF065F46"/>
      <name val="Segoe UI"/>
      <family val="2"/>
    </font>
    <font>
      <b/>
      <sz val="10"/>
      <color rgb="FF991B1B"/>
      <name val="Segoe UI"/>
      <family val="2"/>
    </font>
    <font>
      <b/>
      <sz val="10"/>
      <color rgb="FF854D0E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D1FAE5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F08A"/>
        <bgColor indexed="64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0" fontId="4" fillId="0" borderId="1" xfId="0" applyFont="1" applyBorder="1" applyAlignment="1">
      <alignment vertical="center"/>
    </xf>
    <xf numFmtId="164" fontId="4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Medicamentos por Estado de Alerta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Alertas de Caducidad</c:v>
          </c:tx>
          <c:dPt>
            <c:idx val="0"/>
            <c:spPr>
              <a:solidFill>
                <a:srgbClr val="991B1B"/>
              </a:solidFill>
            </c:spPr>
          </c:dPt>
          <c:dPt>
            <c:idx val="1"/>
            <c:spPr>
              <a:solidFill>
                <a:srgbClr val="DC2626"/>
              </a:solidFill>
            </c:spPr>
          </c:dPt>
          <c:dPt>
            <c:idx val="2"/>
            <c:spPr>
              <a:solidFill>
                <a:srgbClr val="EAB308"/>
              </a:solidFill>
            </c:spPr>
          </c:dPt>
          <c:dPt>
            <c:idx val="3"/>
            <c:spPr>
              <a:solidFill>
                <a:srgbClr val="10B981"/>
              </a:solidFill>
            </c:spPr>
          </c:dPt>
          <c:cat>
            <c:strRef>
              <c:f>'Inventario Fármacos'!$J$5:$J$8</c:f>
              <c:strCache>
                <c:ptCount val="4"/>
                <c:pt idx="0">
                  <c:v>🚨 VENCIDO</c:v>
                </c:pt>
                <c:pt idx="1">
                  <c:v>⚠️ CRÍTICO (&lt;30d)</c:v>
                </c:pt>
                <c:pt idx="2">
                  <c:v>⚠️ PREVENCIÓN (&lt;90d)</c:v>
                </c:pt>
                <c:pt idx="3">
                  <c:v>✅ SEGURO</c:v>
                </c:pt>
              </c:strCache>
            </c:strRef>
          </c:cat>
          <c:val>
            <c:numRef>
              <c:f>'Inventario Fármacos'!$K$5:$K$8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9</xdr:row>
      <xdr:rowOff>0</xdr:rowOff>
    </xdr:from>
    <xdr:to>
      <xdr:col>13</xdr:col>
      <xdr:colOff>476250</xdr:colOff>
      <xdr:row>21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K12"/>
  <sheetViews>
    <sheetView showGridLines="0" tabSelected="1" workbookViewId="0"/>
  </sheetViews>
  <sheetFormatPr defaultRowHeight="15"/>
  <cols>
    <col min="1" max="1" width="26.7109375" customWidth="1"/>
    <col min="2" max="2" width="16.7109375" customWidth="1"/>
    <col min="3" max="3" width="12.7109375" customWidth="1"/>
    <col min="4" max="5" width="14.7109375" customWidth="1"/>
    <col min="6" max="6" width="12.7109375" customWidth="1"/>
    <col min="7" max="7" width="16.7109375" customWidth="1"/>
    <col min="8" max="8" width="22.7109375" customWidth="1"/>
    <col min="9" max="9" width="4.7109375" customWidth="1"/>
    <col min="10" max="10" width="22.7109375" customWidth="1"/>
    <col min="11" max="11" width="14.7109375" customWidth="1"/>
  </cols>
  <sheetData>
    <row r="2" spans="1:11" ht="35" customHeight="1">
      <c r="A2" s="1" t="s">
        <v>0</v>
      </c>
      <c r="B2" s="1"/>
      <c r="C2" s="1"/>
      <c r="D2" s="1"/>
      <c r="E2" s="1"/>
      <c r="F2" s="1"/>
    </row>
    <row r="4" spans="1:11" ht="26" customHeight="1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J4" s="3" t="s">
        <v>45</v>
      </c>
    </row>
    <row r="5" spans="1:11" ht="20" customHeight="1">
      <c r="A5" s="4" t="s">
        <v>9</v>
      </c>
      <c r="B5" s="4" t="s">
        <v>10</v>
      </c>
      <c r="C5" s="4" t="s">
        <v>11</v>
      </c>
      <c r="D5" s="5" t="s">
        <v>12</v>
      </c>
      <c r="E5" s="4">
        <v>150</v>
      </c>
      <c r="F5" s="4">
        <v>50</v>
      </c>
      <c r="G5" s="4">
        <f>D5-TODAY()</f>
        <v>0</v>
      </c>
      <c r="H5" s="6" t="s">
        <v>13</v>
      </c>
      <c r="J5" s="4" t="s">
        <v>23</v>
      </c>
      <c r="K5" s="4">
        <f>COUNTIF(H5:H12, "🚨 VENCIDO")</f>
        <v>0</v>
      </c>
    </row>
    <row r="6" spans="1:11" ht="20" customHeight="1">
      <c r="A6" s="4" t="s">
        <v>14</v>
      </c>
      <c r="B6" s="4" t="s">
        <v>15</v>
      </c>
      <c r="C6" s="4" t="s">
        <v>16</v>
      </c>
      <c r="D6" s="5" t="s">
        <v>17</v>
      </c>
      <c r="E6" s="4">
        <v>12</v>
      </c>
      <c r="F6" s="4">
        <v>20</v>
      </c>
      <c r="G6" s="4">
        <f>D6-TODAY()</f>
        <v>0</v>
      </c>
      <c r="H6" s="7" t="s">
        <v>18</v>
      </c>
      <c r="J6" s="4" t="s">
        <v>18</v>
      </c>
      <c r="K6" s="4">
        <f>COUNTIF(H5:H12, "⚠️ CRÍTICO (&lt;30d)")</f>
        <v>0</v>
      </c>
    </row>
    <row r="7" spans="1:11" ht="20" customHeight="1">
      <c r="A7" s="4" t="s">
        <v>19</v>
      </c>
      <c r="B7" s="4" t="s">
        <v>20</v>
      </c>
      <c r="C7" s="4" t="s">
        <v>21</v>
      </c>
      <c r="D7" s="5" t="s">
        <v>22</v>
      </c>
      <c r="E7" s="4">
        <v>45</v>
      </c>
      <c r="F7" s="4">
        <v>15</v>
      </c>
      <c r="G7" s="4">
        <f>D7-TODAY()</f>
        <v>0</v>
      </c>
      <c r="H7" s="7" t="s">
        <v>23</v>
      </c>
      <c r="J7" s="4" t="s">
        <v>40</v>
      </c>
      <c r="K7" s="4">
        <f>COUNTIF(H5:H12, "⚠️ PREVENCIÓN (&lt;90d)")</f>
        <v>0</v>
      </c>
    </row>
    <row r="8" spans="1:11" ht="20" customHeight="1">
      <c r="A8" s="4" t="s">
        <v>24</v>
      </c>
      <c r="B8" s="4" t="s">
        <v>25</v>
      </c>
      <c r="C8" s="4" t="s">
        <v>26</v>
      </c>
      <c r="D8" s="5" t="s">
        <v>27</v>
      </c>
      <c r="E8" s="4">
        <v>8</v>
      </c>
      <c r="F8" s="4">
        <v>10</v>
      </c>
      <c r="G8" s="4">
        <f>D8-TODAY()</f>
        <v>0</v>
      </c>
      <c r="H8" s="6" t="s">
        <v>13</v>
      </c>
      <c r="J8" s="4" t="s">
        <v>13</v>
      </c>
      <c r="K8" s="4">
        <f>COUNTIF(H5:H12, "✅ SEGURO")</f>
        <v>0</v>
      </c>
    </row>
    <row r="9" spans="1:11" ht="20" customHeight="1">
      <c r="A9" s="4" t="s">
        <v>28</v>
      </c>
      <c r="B9" s="4" t="s">
        <v>29</v>
      </c>
      <c r="C9" s="4" t="s">
        <v>30</v>
      </c>
      <c r="D9" s="5" t="s">
        <v>31</v>
      </c>
      <c r="E9" s="4">
        <v>80</v>
      </c>
      <c r="F9" s="4">
        <v>20</v>
      </c>
      <c r="G9" s="4">
        <f>D9-TODAY()</f>
        <v>0</v>
      </c>
      <c r="H9" s="6" t="s">
        <v>13</v>
      </c>
    </row>
    <row r="10" spans="1:11" ht="20" customHeight="1">
      <c r="A10" s="4" t="s">
        <v>32</v>
      </c>
      <c r="B10" s="4" t="s">
        <v>33</v>
      </c>
      <c r="C10" s="4" t="s">
        <v>34</v>
      </c>
      <c r="D10" s="5" t="s">
        <v>35</v>
      </c>
      <c r="E10" s="4">
        <v>5</v>
      </c>
      <c r="F10" s="4">
        <v>10</v>
      </c>
      <c r="G10" s="4">
        <f>D10-TODAY()</f>
        <v>0</v>
      </c>
      <c r="H10" s="7" t="s">
        <v>18</v>
      </c>
    </row>
    <row r="11" spans="1:11" ht="20" customHeight="1">
      <c r="A11" s="4" t="s">
        <v>36</v>
      </c>
      <c r="B11" s="4" t="s">
        <v>37</v>
      </c>
      <c r="C11" s="4" t="s">
        <v>38</v>
      </c>
      <c r="D11" s="5" t="s">
        <v>39</v>
      </c>
      <c r="E11" s="4">
        <v>120</v>
      </c>
      <c r="F11" s="4">
        <v>30</v>
      </c>
      <c r="G11" s="4">
        <f>D11-TODAY()</f>
        <v>0</v>
      </c>
      <c r="H11" s="8" t="s">
        <v>40</v>
      </c>
    </row>
    <row r="12" spans="1:11" ht="20" customHeight="1">
      <c r="A12" s="4" t="s">
        <v>41</v>
      </c>
      <c r="B12" s="4" t="s">
        <v>42</v>
      </c>
      <c r="C12" s="4" t="s">
        <v>43</v>
      </c>
      <c r="D12" s="5" t="s">
        <v>44</v>
      </c>
      <c r="E12" s="4">
        <v>15</v>
      </c>
      <c r="F12" s="4">
        <v>15</v>
      </c>
      <c r="G12" s="4">
        <f>D12-TODAY()</f>
        <v>0</v>
      </c>
      <c r="H12" s="7" t="s">
        <v>23</v>
      </c>
    </row>
  </sheetData>
  <mergeCells count="1">
    <mergeCell ref="A2:F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 Fármacos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2026-07-17T20:44:36Z</dcterms:created>
  <dcterms:modified xsi:type="dcterms:W3CDTF">2026-07-17T20:44:36Z</dcterms:modified>
</cp:coreProperties>
</file>