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de Ventas" sheetId="1" r:id="rId1"/>
    <sheet name="Cuadro de Mando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<sst xmlns="http://schemas.openxmlformats.org/spreadsheetml/2006/main" count="21" uniqueCount="21">
  <si>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Historial Mensual de Ventas y Pacientes (6 Meses)</t>
  </si>
  <si>
    <t>Mes</t>
  </si>
  <si>
    <t>Efectivo ($)</t>
  </si>
  <si>
    <t>Tarjeta / Trans ($)</t>
  </si>
  <si>
    <t>Copagos / Aseg. ($)</t>
  </si>
  <si>
    <t>Pacientes Totales</t>
  </si>
  <si>
    <t>Citas Canceladas</t>
  </si>
  <si>
    <t>Ventas Totales ($)</t>
  </si>
  <si>
    <t>Enero</t>
  </si>
  <si>
    <t>Febrero</t>
  </si>
  <si>
    <t>Marzo</t>
  </si>
  <si>
    <t>Abril</t>
  </si>
  <si>
    <t>Mayo</t>
  </si>
  <si>
    <t>Junio</t>
  </si>
  <si>
    <t>TOTAL SEMESTRE</t>
  </si>
  <si>
    <t>Cuadro de Mando - Indicadores de la Clínica</t>
  </si>
  <si>
    <t>Ingreso Total Semestre</t>
  </si>
  <si>
    <t>Total Pacientes</t>
  </si>
  <si>
    <t>Ingreso Promedio Mensual</t>
  </si>
  <si>
    <t>Tasa Cancelación Citas</t>
  </si>
  <si>
    <t>💡 ¿Quieres ver estas gráficas y reportes de forma 100% automática y en tiempo real sin abrir Excel?
Nuestro Software Médico Elosar automatiza la facturación SRI, calcula honorarios y genera reportes automáticos.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</si>
</sst>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sz val="11"/>
      <color theme="1"/>
      <name val="Calibri"/>
      <family val="2"/>
      <scheme val="minor"/>
    </font>
    <font>
      <b/>
      <sz val="16"/>
      <color rgb="FF0F766E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475569"/>
      <name val="Segoe UI"/>
      <family val="2"/>
    </font>
    <font>
      <i/>
      <sz val="10"/>
      <color rgb="FF0D948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2F1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Crecimiento Mensual de Ingresos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Tendencia de Ventas</c:v>
          </c:tx>
          <c:spPr>
            <a:ln w="31750">
              <a:solidFill>
                <a:srgbClr val="0F766E"/>
              </a:solidFill>
            </a:ln>
          </c:spPr>
          <c:marker>
            <c:symbol val="circle"/>
            <c:size val="6"/>
            <c:spPr>
              <a:solidFill>
                <a:srgbClr val="14B8A6"/>
              </a:solidFill>
            </c:spPr>
          </c:marker>
          <c:cat>
            <c:strRef>
              <c:f>'Datos de Ventas'!$A$5:$A$10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'Datos de Ventas'!$G$5:$G$10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Método de Pago por Mes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Efectivo</c:v>
          </c:tx>
          <c:spPr>
            <a:solidFill>
              <a:srgbClr val="0F766E"/>
            </a:solidFill>
          </c:spPr>
          <c:cat>
            <c:strRef>
              <c:f>'Datos de Ventas'!$A$5:$A$10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'Datos de Ventas'!$B$5:$B$10</c:f>
              <c:numCache>
                <c:formatCode>General</c:formatCode>
                <c:ptCount val="6"/>
                <c:pt idx="0">
                  <c:v>1200</c:v>
                </c:pt>
                <c:pt idx="1">
                  <c:v>1400</c:v>
                </c:pt>
                <c:pt idx="2">
                  <c:v>1650</c:v>
                </c:pt>
                <c:pt idx="3">
                  <c:v>1500</c:v>
                </c:pt>
                <c:pt idx="4">
                  <c:v>1800</c:v>
                </c:pt>
                <c:pt idx="5">
                  <c:v>1950</c:v>
                </c:pt>
              </c:numCache>
            </c:numRef>
          </c:val>
        </c:ser>
        <c:ser>
          <c:idx val="1"/>
          <c:order val="1"/>
          <c:tx>
            <c:v>Tarjeta</c:v>
          </c:tx>
          <c:spPr>
            <a:solidFill>
              <a:srgbClr val="14B8A6"/>
            </a:solidFill>
          </c:spPr>
          <c:cat>
            <c:strRef>
              <c:f>'Datos de Ventas'!$A$5:$A$10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'Datos de Ventas'!$C$5:$C$10</c:f>
              <c:numCache>
                <c:formatCode>General</c:formatCode>
                <c:ptCount val="6"/>
                <c:pt idx="0">
                  <c:v>2400</c:v>
                </c:pt>
                <c:pt idx="1">
                  <c:v>2800</c:v>
                </c:pt>
                <c:pt idx="2">
                  <c:v>3100</c:v>
                </c:pt>
                <c:pt idx="3">
                  <c:v>3500</c:v>
                </c:pt>
                <c:pt idx="4">
                  <c:v>4200</c:v>
                </c:pt>
                <c:pt idx="5">
                  <c:v>4600</c:v>
                </c:pt>
              </c:numCache>
            </c:numRef>
          </c:val>
        </c:ser>
        <c:ser>
          <c:idx val="2"/>
          <c:order val="2"/>
          <c:tx>
            <c:v>Copagos</c:v>
          </c:tx>
          <c:spPr>
            <a:solidFill>
              <a:srgbClr val="99F6E4"/>
            </a:solidFill>
          </c:spPr>
          <c:cat>
            <c:strRef>
              <c:f>'Datos de Ventas'!$A$5:$A$10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'Datos de Ventas'!$D$5:$D$10</c:f>
              <c:numCache>
                <c:formatCode>General</c:formatCode>
                <c:ptCount val="6"/>
                <c:pt idx="0">
                  <c:v>350</c:v>
                </c:pt>
                <c:pt idx="1">
                  <c:v>410</c:v>
                </c:pt>
                <c:pt idx="2">
                  <c:v>480</c:v>
                </c:pt>
                <c:pt idx="3">
                  <c:v>510</c:v>
                </c:pt>
                <c:pt idx="4">
                  <c:v>600</c:v>
                </c:pt>
                <c:pt idx="5">
                  <c:v>620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4</xdr:col>
      <xdr:colOff>847725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4</xdr:col>
      <xdr:colOff>847725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showGridLines="0" tabSelected="1" workbookViewId="0"/>
  </sheetViews>
  <sheetFormatPr defaultRowHeight="15"/>
  <cols>
    <col min="1" max="1" width="14.7109375" customWidth="1"/>
    <col min="2" max="2" width="22.7109375" customWidth="1"/>
    <col min="3" max="3" width="24.7109375" customWidth="1"/>
    <col min="4" max="5" width="20.7109375" customWidth="1"/>
    <col min="6" max="6" width="18.7109375" customWidth="1"/>
    <col min="7" max="7" width="20.7109375" customWidth="1"/>
  </cols>
  <sheetData>
    <row r="2" spans="1:7" ht="35" customHeight="1">
      <c r="A2" s="1" t="s">
        <v>0</v>
      </c>
      <c r="B2" s="1"/>
      <c r="C2" s="1"/>
      <c r="D2" s="1"/>
      <c r="E2" s="1"/>
      <c r="F2" s="1"/>
    </row>
    <row r="4" spans="1:7" ht="26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20" customHeight="1">
      <c r="A5" s="3" t="s">
        <v>8</v>
      </c>
      <c r="B5" s="4">
        <v>1200</v>
      </c>
      <c r="C5" s="4">
        <v>2400</v>
      </c>
      <c r="D5" s="4">
        <v>350</v>
      </c>
      <c r="E5" s="3">
        <v>95</v>
      </c>
      <c r="F5" s="3">
        <v>4</v>
      </c>
      <c r="G5" s="4">
        <f>SUM(B5:D5)</f>
        <v>0</v>
      </c>
    </row>
    <row r="6" spans="1:7" ht="20" customHeight="1">
      <c r="A6" s="3" t="s">
        <v>9</v>
      </c>
      <c r="B6" s="4">
        <v>1400</v>
      </c>
      <c r="C6" s="4">
        <v>2800</v>
      </c>
      <c r="D6" s="4">
        <v>410</v>
      </c>
      <c r="E6" s="3">
        <v>110</v>
      </c>
      <c r="F6" s="3">
        <v>6</v>
      </c>
      <c r="G6" s="4">
        <f>SUM(B6:D6)</f>
        <v>0</v>
      </c>
    </row>
    <row r="7" spans="1:7" ht="20" customHeight="1">
      <c r="A7" s="3" t="s">
        <v>10</v>
      </c>
      <c r="B7" s="4">
        <v>1650</v>
      </c>
      <c r="C7" s="4">
        <v>3100</v>
      </c>
      <c r="D7" s="4">
        <v>480</v>
      </c>
      <c r="E7" s="3">
        <v>125</v>
      </c>
      <c r="F7" s="3">
        <v>5</v>
      </c>
      <c r="G7" s="4">
        <f>SUM(B7:D7)</f>
        <v>0</v>
      </c>
    </row>
    <row r="8" spans="1:7" ht="20" customHeight="1">
      <c r="A8" s="3" t="s">
        <v>11</v>
      </c>
      <c r="B8" s="4">
        <v>1500</v>
      </c>
      <c r="C8" s="4">
        <v>3500</v>
      </c>
      <c r="D8" s="4">
        <v>510</v>
      </c>
      <c r="E8" s="3">
        <v>130</v>
      </c>
      <c r="F8" s="3">
        <v>9</v>
      </c>
      <c r="G8" s="4">
        <f>SUM(B8:D8)</f>
        <v>0</v>
      </c>
    </row>
    <row r="9" spans="1:7" ht="20" customHeight="1">
      <c r="A9" s="3" t="s">
        <v>12</v>
      </c>
      <c r="B9" s="4">
        <v>1800</v>
      </c>
      <c r="C9" s="4">
        <v>4200</v>
      </c>
      <c r="D9" s="4">
        <v>600</v>
      </c>
      <c r="E9" s="3">
        <v>155</v>
      </c>
      <c r="F9" s="3">
        <v>3</v>
      </c>
      <c r="G9" s="4">
        <f>SUM(B9:D9)</f>
        <v>0</v>
      </c>
    </row>
    <row r="10" spans="1:7" ht="20" customHeight="1">
      <c r="A10" s="3" t="s">
        <v>13</v>
      </c>
      <c r="B10" s="4">
        <v>1950</v>
      </c>
      <c r="C10" s="4">
        <v>4600</v>
      </c>
      <c r="D10" s="4">
        <v>620</v>
      </c>
      <c r="E10" s="3">
        <v>160</v>
      </c>
      <c r="F10" s="3">
        <v>7</v>
      </c>
      <c r="G10" s="4">
        <f>SUM(B10:D10)</f>
        <v>0</v>
      </c>
    </row>
    <row r="11" spans="1:7" ht="22" customHeight="1">
      <c r="A11" s="5" t="s">
        <v>14</v>
      </c>
      <c r="B11" s="6">
        <f>SUM(B5:B10)</f>
        <v>0</v>
      </c>
      <c r="C11" s="6">
        <f>SUM(C5:C10)</f>
        <v>0</v>
      </c>
      <c r="D11" s="6">
        <f>SUM(D5:D10)</f>
        <v>0</v>
      </c>
      <c r="E11" s="6">
        <f>SUM(E5:E10)</f>
        <v>0</v>
      </c>
      <c r="F11" s="6">
        <f>SUM(F5:F10)</f>
        <v>0</v>
      </c>
      <c r="G11" s="6">
        <f>SUM(G5:G10)</f>
        <v>0</v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40"/>
  <sheetViews>
    <sheetView showGridLines="0" workbookViewId="0"/>
  </sheetViews>
  <sheetFormatPr defaultRowHeight="15"/>
  <cols>
    <col min="1" max="1" width="4.7109375" customWidth="1"/>
    <col min="2" max="5" width="16.7109375" customWidth="1"/>
  </cols>
  <sheetData>
    <row r="2" spans="1:6" ht="35" customHeight="1">
      <c r="A2" s="1" t="s">
        <v>15</v>
      </c>
      <c r="B2" s="1"/>
      <c r="C2" s="1"/>
      <c r="D2" s="1"/>
      <c r="E2" s="1"/>
      <c r="F2" s="1"/>
    </row>
    <row r="4" spans="1:6" ht="20" customHeight="1">
      <c r="B4" s="7" t="s">
        <v>16</v>
      </c>
      <c r="C4" s="7"/>
      <c r="D4" s="7" t="s">
        <v>17</v>
      </c>
      <c r="E4" s="7"/>
    </row>
    <row r="5" spans="1:6" ht="32" customHeight="1">
      <c r="B5" s="8">
        <f>'Datos de Ventas'!$G$11</f>
        <v>0</v>
      </c>
      <c r="C5" s="8"/>
      <c r="D5" s="9">
        <f>'Datos de Ventas'!$E$11</f>
        <v>0</v>
      </c>
      <c r="E5" s="9"/>
    </row>
    <row r="7" spans="1:6" ht="20" customHeight="1">
      <c r="B7" s="7" t="s">
        <v>18</v>
      </c>
      <c r="C7" s="7"/>
      <c r="D7" s="7" t="s">
        <v>19</v>
      </c>
      <c r="E7" s="7"/>
    </row>
    <row r="8" spans="1:6" ht="32" customHeight="1">
      <c r="B8" s="8">
        <f>AVERAGE('Datos de Ventas'!G5:G10)</f>
        <v>0</v>
      </c>
      <c r="C8" s="8"/>
      <c r="D8" s="10">
        <f>SUM('Datos de Ventas'!F5:F10)/SUM('Datos de Ventas'!E5:E10)</f>
        <v>0</v>
      </c>
      <c r="E8" s="10"/>
    </row>
    <row r="38" spans="2:5" ht="20" customHeight="1">
      <c r="B38" s="11" t="s">
        <v>20</v>
      </c>
      <c r="C38" s="11"/>
      <c r="D38" s="11"/>
      <c r="E38" s="11"/>
    </row>
    <row r="39" spans="2:5" ht="20" customHeight="1">
      <c r="B39" s="11"/>
      <c r="C39" s="11"/>
      <c r="D39" s="11"/>
      <c r="E39" s="11"/>
    </row>
    <row r="40" spans="2:5" ht="20" customHeight="1">
      <c r="B40" s="11"/>
      <c r="C40" s="11"/>
      <c r="D40" s="11"/>
      <c r="E40" s="11"/>
    </row>
  </sheetData>
  <mergeCells count="10">
    <mergeCell ref="A2:F2"/>
    <mergeCell ref="B4:C4"/>
    <mergeCell ref="B5:C5"/>
    <mergeCell ref="D4:E4"/>
    <mergeCell ref="D5:E5"/>
    <mergeCell ref="B7:C7"/>
    <mergeCell ref="B8:C8"/>
    <mergeCell ref="D7:E7"/>
    <mergeCell ref="D8:E8"/>
    <mergeCell ref="B38: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de Ventas</vt:lpstr>
      <vt:lpstr>Cuadro de Mando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2026-07-17T20:44:36Z</dcterms:created>
  <dcterms:modified xsi:type="dcterms:W3CDTF">2026-07-17T20:44:36Z</dcterms:modified>
</cp:coreProperties>
</file>