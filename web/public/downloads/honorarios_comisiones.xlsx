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Médicos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<sst xmlns="http://schemas.openxmlformats.org/spreadsheetml/2006/main" count="56" uniqueCount="43">
  <si>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Cálculo de Honorarios y Comisiones de Médicos</t>
  </si>
  <si>
    <t>Fecha</t>
  </si>
  <si>
    <t>Médico</t>
  </si>
  <si>
    <t>Paciente</t>
  </si>
  <si>
    <t>Servicio / Procedimiento</t>
  </si>
  <si>
    <t>Valor Total ($)</t>
  </si>
  <si>
    <t>% Comisión</t>
  </si>
  <si>
    <t>Pago Médico ($)</t>
  </si>
  <si>
    <t>Clínica ($)</t>
  </si>
  <si>
    <t>2026-07-01</t>
  </si>
  <si>
    <t>Dr. Alejandro Vaca</t>
  </si>
  <si>
    <t>Laura Morales</t>
  </si>
  <si>
    <t>Consulta Especialista</t>
  </si>
  <si>
    <t>2026-07-02</t>
  </si>
  <si>
    <t>Dra. Patricia Ortiz</t>
  </si>
  <si>
    <t>David Andrade</t>
  </si>
  <si>
    <t>Terapia Física</t>
  </si>
  <si>
    <t>2026-07-03</t>
  </si>
  <si>
    <t>Dr. Jaime Noboa</t>
  </si>
  <si>
    <t>Lorena Cárdenas</t>
  </si>
  <si>
    <t>Consulta General</t>
  </si>
  <si>
    <t>2026-07-04</t>
  </si>
  <si>
    <t>Esteban Ortiz</t>
  </si>
  <si>
    <t>2026-07-05</t>
  </si>
  <si>
    <t>Lucía Mendoza</t>
  </si>
  <si>
    <t>Infiltración Articular</t>
  </si>
  <si>
    <t>2026-07-06</t>
  </si>
  <si>
    <t>Dr. Francisco Salazar</t>
  </si>
  <si>
    <t>Jorge Tipán</t>
  </si>
  <si>
    <t>2026-07-07</t>
  </si>
  <si>
    <t>Dra. Carmen Falconí</t>
  </si>
  <si>
    <t>Gabriela Rivadeneira</t>
  </si>
  <si>
    <t>Ecografía Ginecología</t>
  </si>
  <si>
    <t>2026-07-08</t>
  </si>
  <si>
    <t>Andrés Pérez</t>
  </si>
  <si>
    <t>Bloqueo Epidural</t>
  </si>
  <si>
    <t>2026-07-09</t>
  </si>
  <si>
    <t>Mónica Cevallos</t>
  </si>
  <si>
    <t>2026-07-10</t>
  </si>
  <si>
    <t>Roberto Carlos</t>
  </si>
  <si>
    <t>Sutura Herida</t>
  </si>
  <si>
    <t>TOTALES</t>
  </si>
  <si>
    <t>Pago por Médico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</si>
</sst>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%"/>
  </numFmts>
  <fonts count="6">
    <font>
      <sz val="11"/>
      <color theme="1"/>
      <name val="Calibri"/>
      <family val="2"/>
      <scheme val="minor"/>
    </font>
    <font>
      <b/>
      <sz val="16"/>
      <color rgb="FF0F766E"/>
      <name val="Segoe UI"/>
      <family val="2"/>
    </font>
    <font>
      <b/>
      <sz val="11"/>
      <color rgb="FFFFFFFF"/>
      <name val="Segoe UI"/>
      <family val="2"/>
    </font>
    <font>
      <b/>
      <sz val="11"/>
      <color rgb="FF0F766E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5" fontId="5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Distribución de Ingresos por Médico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Pago al Médico</c:v>
          </c:tx>
          <c:spPr>
            <a:solidFill>
              <a:srgbClr val="0F766E"/>
            </a:solidFill>
          </c:spPr>
          <c:cat>
            <c:strRef>
              <c:f>'Comisiones Médicos'!$J$5:$J$9</c:f>
              <c:strCache>
                <c:ptCount val="5"/>
                <c:pt idx="0">
                  <c:v>Dr. Alejandro Vaca</c:v>
                </c:pt>
                <c:pt idx="1">
                  <c:v>Dra. Patricia Ortiz</c:v>
                </c:pt>
                <c:pt idx="2">
                  <c:v>Dr. Jaime Noboa</c:v>
                </c:pt>
                <c:pt idx="3">
                  <c:v>Dr. Francisco Salazar</c:v>
                </c:pt>
                <c:pt idx="4">
                  <c:v>Dra. Carmen Falconí</c:v>
                </c:pt>
              </c:strCache>
            </c:strRef>
          </c:cat>
          <c:val>
            <c:numRef>
              <c:f>'Comisiones Médicos'!$K$5:$K$9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Clínica (Retención)</c:v>
          </c:tx>
          <c:spPr>
            <a:solidFill>
              <a:srgbClr val="2DD4BF"/>
            </a:solidFill>
          </c:spPr>
          <c:cat>
            <c:strRef>
              <c:f>'Comisiones Médicos'!$J$5:$J$9</c:f>
              <c:strCache>
                <c:ptCount val="5"/>
                <c:pt idx="0">
                  <c:v>Dr. Alejandro Vaca</c:v>
                </c:pt>
                <c:pt idx="1">
                  <c:v>Dra. Patricia Ortiz</c:v>
                </c:pt>
                <c:pt idx="2">
                  <c:v>Dr. Jaime Noboa</c:v>
                </c:pt>
                <c:pt idx="3">
                  <c:v>Dr. Francisco Salazar</c:v>
                </c:pt>
                <c:pt idx="4">
                  <c:v>Dra. Carmen Falconí</c:v>
                </c:pt>
              </c:strCache>
            </c:strRef>
          </c:cat>
          <c:val>
            <c:numRef>
              <c:f>'Comisiones Médicos'!$L$5:$L$9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12</xdr:col>
      <xdr:colOff>180975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5"/>
  <sheetViews>
    <sheetView showGridLines="0" tabSelected="1" workbookViewId="0"/>
  </sheetViews>
  <sheetFormatPr defaultRowHeight="15"/>
  <cols>
    <col min="1" max="1" width="14.7109375" customWidth="1"/>
    <col min="2" max="3" width="22.7109375" customWidth="1"/>
    <col min="4" max="4" width="25.7109375" customWidth="1"/>
    <col min="5" max="5" width="16.7109375" customWidth="1"/>
    <col min="6" max="6" width="14.7109375" customWidth="1"/>
    <col min="7" max="7" width="18.7109375" customWidth="1"/>
    <col min="8" max="8" width="16.7109375" customWidth="1"/>
    <col min="9" max="9" width="4.7109375" customWidth="1"/>
    <col min="10" max="10" width="22.7109375" customWidth="1"/>
    <col min="11" max="12" width="18.7109375" customWidth="1"/>
  </cols>
  <sheetData>
    <row r="2" spans="1:12" ht="35" customHeight="1">
      <c r="A2" s="1" t="s">
        <v>0</v>
      </c>
      <c r="B2" s="1"/>
      <c r="C2" s="1"/>
      <c r="D2" s="1"/>
      <c r="E2" s="1"/>
      <c r="F2" s="1"/>
    </row>
    <row r="4" spans="1:12" ht="2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J4" s="3" t="s">
        <v>42</v>
      </c>
    </row>
    <row r="5" spans="1:12" ht="20" customHeight="1">
      <c r="A5" s="4" t="s">
        <v>9</v>
      </c>
      <c r="B5" s="5" t="s">
        <v>10</v>
      </c>
      <c r="C5" s="5" t="s">
        <v>11</v>
      </c>
      <c r="D5" s="5" t="s">
        <v>12</v>
      </c>
      <c r="E5" s="6">
        <v>60</v>
      </c>
      <c r="F5" s="7">
        <v>0.7</v>
      </c>
      <c r="G5" s="6">
        <f>E5*F5</f>
        <v>0</v>
      </c>
      <c r="H5" s="6">
        <f>E5*(1-F5)</f>
        <v>0</v>
      </c>
      <c r="J5" s="5" t="s">
        <v>10</v>
      </c>
      <c r="K5" s="6">
        <f>SUMIF(B$5:B$14, "Dr. Alejandro Vaca", G$5:G$14)</f>
        <v>0</v>
      </c>
      <c r="L5" s="6">
        <f>SUMIF(B$5:B$14, "Dr. Alejandro Vaca", H$5:H$14)</f>
        <v>0</v>
      </c>
    </row>
    <row r="6" spans="1:12" ht="20" customHeight="1">
      <c r="A6" s="4" t="s">
        <v>13</v>
      </c>
      <c r="B6" s="5" t="s">
        <v>14</v>
      </c>
      <c r="C6" s="5" t="s">
        <v>15</v>
      </c>
      <c r="D6" s="5" t="s">
        <v>16</v>
      </c>
      <c r="E6" s="6">
        <v>45</v>
      </c>
      <c r="F6" s="7">
        <v>0.6</v>
      </c>
      <c r="G6" s="6">
        <f>E6*F6</f>
        <v>0</v>
      </c>
      <c r="H6" s="6">
        <f>E6*(1-F6)</f>
        <v>0</v>
      </c>
      <c r="J6" s="5" t="s">
        <v>14</v>
      </c>
      <c r="K6" s="6">
        <f>SUMIF(B$5:B$14, "Dra. Patricia Ortiz", G$5:G$14)</f>
        <v>0</v>
      </c>
      <c r="L6" s="6">
        <f>SUMIF(B$5:B$14, "Dra. Patricia Ortiz", H$5:H$14)</f>
        <v>0</v>
      </c>
    </row>
    <row r="7" spans="1:12" ht="20" customHeight="1">
      <c r="A7" s="4" t="s">
        <v>17</v>
      </c>
      <c r="B7" s="5" t="s">
        <v>18</v>
      </c>
      <c r="C7" s="5" t="s">
        <v>19</v>
      </c>
      <c r="D7" s="5" t="s">
        <v>20</v>
      </c>
      <c r="E7" s="6">
        <v>40</v>
      </c>
      <c r="F7" s="7">
        <v>0.5</v>
      </c>
      <c r="G7" s="6">
        <f>E7*F7</f>
        <v>0</v>
      </c>
      <c r="H7" s="6">
        <f>E7*(1-F7)</f>
        <v>0</v>
      </c>
      <c r="J7" s="5" t="s">
        <v>18</v>
      </c>
      <c r="K7" s="6">
        <f>SUMIF(B$5:B$14, "Dr. Jaime Noboa", G$5:G$14)</f>
        <v>0</v>
      </c>
      <c r="L7" s="6">
        <f>SUMIF(B$5:B$14, "Dr. Jaime Noboa", H$5:H$14)</f>
        <v>0</v>
      </c>
    </row>
    <row r="8" spans="1:12" ht="20" customHeight="1">
      <c r="A8" s="4" t="s">
        <v>21</v>
      </c>
      <c r="B8" s="5" t="s">
        <v>14</v>
      </c>
      <c r="C8" s="5" t="s">
        <v>22</v>
      </c>
      <c r="D8" s="5" t="s">
        <v>16</v>
      </c>
      <c r="E8" s="6">
        <v>45</v>
      </c>
      <c r="F8" s="7">
        <v>0.6</v>
      </c>
      <c r="G8" s="6">
        <f>E8*F8</f>
        <v>0</v>
      </c>
      <c r="H8" s="6">
        <f>E8*(1-F8)</f>
        <v>0</v>
      </c>
      <c r="J8" s="5" t="s">
        <v>27</v>
      </c>
      <c r="K8" s="6">
        <f>SUMIF(B$5:B$14, "Dr. Francisco Salazar", G$5:G$14)</f>
        <v>0</v>
      </c>
      <c r="L8" s="6">
        <f>SUMIF(B$5:B$14, "Dr. Francisco Salazar", H$5:H$14)</f>
        <v>0</v>
      </c>
    </row>
    <row r="9" spans="1:12" ht="20" customHeight="1">
      <c r="A9" s="4" t="s">
        <v>23</v>
      </c>
      <c r="B9" s="5" t="s">
        <v>10</v>
      </c>
      <c r="C9" s="5" t="s">
        <v>24</v>
      </c>
      <c r="D9" s="5" t="s">
        <v>25</v>
      </c>
      <c r="E9" s="6">
        <v>150</v>
      </c>
      <c r="F9" s="7">
        <v>0.75</v>
      </c>
      <c r="G9" s="6">
        <f>E9*F9</f>
        <v>0</v>
      </c>
      <c r="H9" s="6">
        <f>E9*(1-F9)</f>
        <v>0</v>
      </c>
      <c r="J9" s="5" t="s">
        <v>30</v>
      </c>
      <c r="K9" s="6">
        <f>SUMIF(B$5:B$14, "Dra. Carmen Falconí", G$5:G$14)</f>
        <v>0</v>
      </c>
      <c r="L9" s="6">
        <f>SUMIF(B$5:B$14, "Dra. Carmen Falconí", H$5:H$14)</f>
        <v>0</v>
      </c>
    </row>
    <row r="10" spans="1:12" ht="20" customHeight="1">
      <c r="A10" s="4" t="s">
        <v>26</v>
      </c>
      <c r="B10" s="5" t="s">
        <v>27</v>
      </c>
      <c r="C10" s="5" t="s">
        <v>28</v>
      </c>
      <c r="D10" s="5" t="s">
        <v>12</v>
      </c>
      <c r="E10" s="6">
        <v>60</v>
      </c>
      <c r="F10" s="7">
        <v>0.7</v>
      </c>
      <c r="G10" s="6">
        <f>E10*F10</f>
        <v>0</v>
      </c>
      <c r="H10" s="6">
        <f>E10*(1-F10)</f>
        <v>0</v>
      </c>
    </row>
    <row r="11" spans="1:12" ht="20" customHeight="1">
      <c r="A11" s="4" t="s">
        <v>29</v>
      </c>
      <c r="B11" s="5" t="s">
        <v>30</v>
      </c>
      <c r="C11" s="5" t="s">
        <v>31</v>
      </c>
      <c r="D11" s="5" t="s">
        <v>32</v>
      </c>
      <c r="E11" s="6">
        <v>90</v>
      </c>
      <c r="F11" s="7">
        <v>0.65</v>
      </c>
      <c r="G11" s="6">
        <f>E11*F11</f>
        <v>0</v>
      </c>
      <c r="H11" s="6">
        <f>E11*(1-F11)</f>
        <v>0</v>
      </c>
    </row>
    <row r="12" spans="1:12" ht="20" customHeight="1">
      <c r="A12" s="4" t="s">
        <v>33</v>
      </c>
      <c r="B12" s="5" t="s">
        <v>27</v>
      </c>
      <c r="C12" s="5" t="s">
        <v>34</v>
      </c>
      <c r="D12" s="5" t="s">
        <v>35</v>
      </c>
      <c r="E12" s="6">
        <v>250</v>
      </c>
      <c r="F12" s="7">
        <v>0.75</v>
      </c>
      <c r="G12" s="6">
        <f>E12*F12</f>
        <v>0</v>
      </c>
      <c r="H12" s="6">
        <f>E12*(1-F12)</f>
        <v>0</v>
      </c>
    </row>
    <row r="13" spans="1:12" ht="20" customHeight="1">
      <c r="A13" s="4" t="s">
        <v>36</v>
      </c>
      <c r="B13" s="5" t="s">
        <v>30</v>
      </c>
      <c r="C13" s="5" t="s">
        <v>37</v>
      </c>
      <c r="D13" s="5" t="s">
        <v>12</v>
      </c>
      <c r="E13" s="6">
        <v>60</v>
      </c>
      <c r="F13" s="7">
        <v>0.7</v>
      </c>
      <c r="G13" s="6">
        <f>E13*F13</f>
        <v>0</v>
      </c>
      <c r="H13" s="6">
        <f>E13*(1-F13)</f>
        <v>0</v>
      </c>
    </row>
    <row r="14" spans="1:12" ht="20" customHeight="1">
      <c r="A14" s="4" t="s">
        <v>38</v>
      </c>
      <c r="B14" s="5" t="s">
        <v>18</v>
      </c>
      <c r="C14" s="5" t="s">
        <v>39</v>
      </c>
      <c r="D14" s="5" t="s">
        <v>40</v>
      </c>
      <c r="E14" s="6">
        <v>80</v>
      </c>
      <c r="F14" s="7">
        <v>0.5</v>
      </c>
      <c r="G14" s="6">
        <f>E14*F14</f>
        <v>0</v>
      </c>
      <c r="H14" s="6">
        <f>E14*(1-F14)</f>
        <v>0</v>
      </c>
    </row>
    <row r="15" spans="1:12" ht="22" customHeight="1">
      <c r="A15" s="8" t="s">
        <v>41</v>
      </c>
      <c r="B15" s="8"/>
      <c r="C15" s="8"/>
      <c r="D15" s="8"/>
      <c r="E15" s="9">
        <f>SUM(E5:E14)</f>
        <v>0</v>
      </c>
      <c r="F15" s="8"/>
      <c r="G15" s="9">
        <f>SUM(G5:G14)</f>
        <v>0</v>
      </c>
      <c r="H15" s="9">
        <f>SUM(H5:H14)</f>
        <v>0</v>
      </c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Médicos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2026-07-17T20:44:36Z</dcterms:created>
  <dcterms:modified xsi:type="dcterms:W3CDTF">2026-07-17T20:44:36Z</dcterms:modified>
</cp:coreProperties>
</file>