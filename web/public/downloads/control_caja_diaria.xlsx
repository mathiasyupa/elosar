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 de Caja" sheetId="1" r:id="rId1"/>
  </sheets>
  <calcPr calcId="124519" fullCalcOnLoad="1"/>
</workbook>
</file>

<file path=xl/sharedStrings.xml><?xml version="1.0" encoding="utf-8"?>
<sst xmlns="http://schemas.openxmlformats.org/spreadsheetml/2006/main" count="88" uniqueCount="58">
  <si>
    <t>Control de Caja Diaria y Copagos (30 Días - Sin IVA)</t>
  </si>
  <si>
    <t>Fecha</t>
  </si>
  <si>
    <t>Paciente</t>
  </si>
  <si>
    <t>Servicio / Detalle</t>
  </si>
  <si>
    <t>Método de Pago</t>
  </si>
  <si>
    <t>Monto Recibido ($)</t>
  </si>
  <si>
    <t>Estado</t>
  </si>
  <si>
    <t>2026-07-01</t>
  </si>
  <si>
    <t>Juan Carlos Pérez</t>
  </si>
  <si>
    <t>Consulta General</t>
  </si>
  <si>
    <t>Efectivo</t>
  </si>
  <si>
    <t>Completado</t>
  </si>
  <si>
    <t>2026-07-02</t>
  </si>
  <si>
    <t>María Belén Espinoza</t>
  </si>
  <si>
    <t>Ecocardiograma</t>
  </si>
  <si>
    <t>Tarjeta</t>
  </si>
  <si>
    <t>2026-07-03</t>
  </si>
  <si>
    <t>Carlos Alfredo Cobo</t>
  </si>
  <si>
    <t>Consulta Pediatría (Copago)</t>
  </si>
  <si>
    <t>Copago</t>
  </si>
  <si>
    <t>2026-07-04</t>
  </si>
  <si>
    <t>Diana Carolina Ruiz</t>
  </si>
  <si>
    <t>Radiografía de Tórax</t>
  </si>
  <si>
    <t>Transferencia</t>
  </si>
  <si>
    <t>2026-07-05</t>
  </si>
  <si>
    <t>José Miguel Torres</t>
  </si>
  <si>
    <t>Consulta Dermatología</t>
  </si>
  <si>
    <t>2026-07-06</t>
  </si>
  <si>
    <t>Ana Sofía Paredes</t>
  </si>
  <si>
    <t>Exámenes de Sangre (Copago)</t>
  </si>
  <si>
    <t>2026-07-07</t>
  </si>
  <si>
    <t>Pedro Antonio Vaca</t>
  </si>
  <si>
    <t>Consulta Cardiología</t>
  </si>
  <si>
    <t>2026-07-08</t>
  </si>
  <si>
    <t>Lucía Fernanda Ortiz</t>
  </si>
  <si>
    <t>Fisioterapia Sesión 1</t>
  </si>
  <si>
    <t>2026-07-09</t>
  </si>
  <si>
    <t>Esteban Daniel Cobo</t>
  </si>
  <si>
    <t>2026-07-10</t>
  </si>
  <si>
    <t>Carmen Elena Ruiz</t>
  </si>
  <si>
    <t>Chequeo Ginecológico</t>
  </si>
  <si>
    <t>2026-07-11</t>
  </si>
  <si>
    <t>Luis Alberto Gómez</t>
  </si>
  <si>
    <t>Consulta Otorrino (Copago)</t>
  </si>
  <si>
    <t>2026-07-12</t>
  </si>
  <si>
    <t>Margarita Rosa Cobos</t>
  </si>
  <si>
    <t>Ecografía Abdominal</t>
  </si>
  <si>
    <t>2026-07-13</t>
  </si>
  <si>
    <t>Francisco Javier Ríos</t>
  </si>
  <si>
    <t>Consulta Pediatría</t>
  </si>
  <si>
    <t>2026-07-14</t>
  </si>
  <si>
    <t>Patricia Pilar Ortiz</t>
  </si>
  <si>
    <t>Infiltración Rodilla</t>
  </si>
  <si>
    <t>2026-07-15</t>
  </si>
  <si>
    <t>Andrés Felipe Noboa</t>
  </si>
  <si>
    <t>Consulta General (Copago)</t>
  </si>
  <si>
    <t>TOTAL DIARIO</t>
  </si>
  <si>
    <t>Resumen por Método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</si>
</sst>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sz val="11"/>
      <color theme="1"/>
      <name val="Calibri"/>
      <family val="2"/>
      <scheme val="minor"/>
    </font>
    <font>
      <b/>
      <sz val="16"/>
      <color rgb="FF0F766E"/>
      <name val="Segoe UI"/>
      <family val="2"/>
    </font>
    <font>
      <b/>
      <sz val="11"/>
      <color rgb="FFFFFFFF"/>
      <name val="Segoe UI"/>
      <family val="2"/>
    </font>
    <font>
      <b/>
      <sz val="11"/>
      <color rgb="FF0F766E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5" fontId="5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por Método de Pago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Métodos de Pago</c:v>
          </c:tx>
          <c:dPt>
            <c:idx val="0"/>
            <c:spPr>
              <a:solidFill>
                <a:srgbClr val="0F766E"/>
              </a:solidFill>
            </c:spPr>
          </c:dPt>
          <c:dPt>
            <c:idx val="1"/>
            <c:spPr>
              <a:solidFill>
                <a:srgbClr val="0D9488"/>
              </a:solidFill>
            </c:spPr>
          </c:dPt>
          <c:dPt>
            <c:idx val="2"/>
            <c:spPr>
              <a:solidFill>
                <a:srgbClr val="14B8A6"/>
              </a:solidFill>
            </c:spPr>
          </c:dPt>
          <c:dPt>
            <c:idx val="3"/>
            <c:spPr>
              <a:solidFill>
                <a:srgbClr val="2DD4BF"/>
              </a:solidFill>
            </c:spPr>
          </c:dPt>
          <c:cat>
            <c:strRef>
              <c:f>'Control de Caja'!$H$5:$H$8</c:f>
              <c:strCache>
                <c:ptCount val="4"/>
                <c:pt idx="0">
                  <c:v>Efectivo</c:v>
                </c:pt>
                <c:pt idx="1">
                  <c:v>Tarjeta</c:v>
                </c:pt>
                <c:pt idx="2">
                  <c:v>Transferencia</c:v>
                </c:pt>
                <c:pt idx="3">
                  <c:v>Copago</c:v>
                </c:pt>
              </c:strCache>
            </c:strRef>
          </c:cat>
          <c:val>
            <c:numRef>
              <c:f>'Control de Caja'!$I$5:$I$8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10</xdr:col>
      <xdr:colOff>514350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20"/>
  <sheetViews>
    <sheetView showGridLines="0" tabSelected="1" workbookViewId="0"/>
  </sheetViews>
  <sheetFormatPr defaultRowHeight="15"/>
  <cols>
    <col min="1" max="1" width="14.7109375" customWidth="1"/>
    <col min="2" max="2" width="25.7109375" customWidth="1"/>
    <col min="3" max="3" width="30.7109375" customWidth="1"/>
    <col min="4" max="4" width="18.7109375" customWidth="1"/>
    <col min="5" max="5" width="20.7109375" customWidth="1"/>
    <col min="6" max="6" width="14.7109375" customWidth="1"/>
    <col min="7" max="7" width="4.7109375" customWidth="1"/>
    <col min="8" max="9" width="18.7109375" customWidth="1"/>
  </cols>
  <sheetData>
    <row r="2" spans="1:9" ht="35" customHeight="1">
      <c r="A2" s="1" t="s">
        <v>0</v>
      </c>
      <c r="B2" s="1"/>
      <c r="C2" s="1"/>
      <c r="D2" s="1"/>
      <c r="E2" s="1"/>
      <c r="F2" s="1"/>
    </row>
    <row r="4" spans="1:9" ht="26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H4" s="3" t="s">
        <v>57</v>
      </c>
    </row>
    <row r="5" spans="1:9" ht="20" customHeight="1">
      <c r="A5" s="4" t="s">
        <v>7</v>
      </c>
      <c r="B5" s="5" t="s">
        <v>8</v>
      </c>
      <c r="C5" s="5" t="s">
        <v>9</v>
      </c>
      <c r="D5" s="5" t="s">
        <v>10</v>
      </c>
      <c r="E5" s="6">
        <v>40</v>
      </c>
      <c r="F5" s="5" t="s">
        <v>11</v>
      </c>
      <c r="H5" s="5" t="s">
        <v>10</v>
      </c>
      <c r="I5" s="6">
        <f>SUMIF(D5:D19, "Efectivo", E5:E19)</f>
        <v>0</v>
      </c>
    </row>
    <row r="6" spans="1:9" ht="20" customHeight="1">
      <c r="A6" s="4" t="s">
        <v>12</v>
      </c>
      <c r="B6" s="5" t="s">
        <v>13</v>
      </c>
      <c r="C6" s="5" t="s">
        <v>14</v>
      </c>
      <c r="D6" s="5" t="s">
        <v>15</v>
      </c>
      <c r="E6" s="6">
        <v>120</v>
      </c>
      <c r="F6" s="5" t="s">
        <v>11</v>
      </c>
      <c r="H6" s="5" t="s">
        <v>15</v>
      </c>
      <c r="I6" s="6">
        <f>SUMIF(D5:D19, "Tarjeta", E5:E19)</f>
        <v>0</v>
      </c>
    </row>
    <row r="7" spans="1:9" ht="20" customHeight="1">
      <c r="A7" s="4" t="s">
        <v>16</v>
      </c>
      <c r="B7" s="5" t="s">
        <v>17</v>
      </c>
      <c r="C7" s="5" t="s">
        <v>18</v>
      </c>
      <c r="D7" s="5" t="s">
        <v>19</v>
      </c>
      <c r="E7" s="6">
        <v>10</v>
      </c>
      <c r="F7" s="5" t="s">
        <v>11</v>
      </c>
      <c r="H7" s="5" t="s">
        <v>23</v>
      </c>
      <c r="I7" s="6">
        <f>SUMIF(D5:D19, "Transferencia", E5:E19)</f>
        <v>0</v>
      </c>
    </row>
    <row r="8" spans="1:9" ht="20" customHeight="1">
      <c r="A8" s="4" t="s">
        <v>20</v>
      </c>
      <c r="B8" s="5" t="s">
        <v>21</v>
      </c>
      <c r="C8" s="5" t="s">
        <v>22</v>
      </c>
      <c r="D8" s="5" t="s">
        <v>23</v>
      </c>
      <c r="E8" s="6">
        <v>45</v>
      </c>
      <c r="F8" s="5" t="s">
        <v>11</v>
      </c>
      <c r="H8" s="5" t="s">
        <v>19</v>
      </c>
      <c r="I8" s="6">
        <f>SUMIF(D5:D19, "Copago", E5:E19)</f>
        <v>0</v>
      </c>
    </row>
    <row r="9" spans="1:9" ht="20" customHeight="1">
      <c r="A9" s="4" t="s">
        <v>24</v>
      </c>
      <c r="B9" s="5" t="s">
        <v>25</v>
      </c>
      <c r="C9" s="5" t="s">
        <v>26</v>
      </c>
      <c r="D9" s="5" t="s">
        <v>10</v>
      </c>
      <c r="E9" s="6">
        <v>50</v>
      </c>
      <c r="F9" s="5" t="s">
        <v>11</v>
      </c>
    </row>
    <row r="10" spans="1:9" ht="20" customHeight="1">
      <c r="A10" s="4" t="s">
        <v>27</v>
      </c>
      <c r="B10" s="5" t="s">
        <v>28</v>
      </c>
      <c r="C10" s="5" t="s">
        <v>29</v>
      </c>
      <c r="D10" s="5" t="s">
        <v>19</v>
      </c>
      <c r="E10" s="6">
        <v>15</v>
      </c>
      <c r="F10" s="5" t="s">
        <v>11</v>
      </c>
    </row>
    <row r="11" spans="1:9" ht="20" customHeight="1">
      <c r="A11" s="4" t="s">
        <v>30</v>
      </c>
      <c r="B11" s="5" t="s">
        <v>31</v>
      </c>
      <c r="C11" s="5" t="s">
        <v>32</v>
      </c>
      <c r="D11" s="5" t="s">
        <v>15</v>
      </c>
      <c r="E11" s="6">
        <v>70</v>
      </c>
      <c r="F11" s="5" t="s">
        <v>11</v>
      </c>
    </row>
    <row r="12" spans="1:9" ht="20" customHeight="1">
      <c r="A12" s="4" t="s">
        <v>33</v>
      </c>
      <c r="B12" s="5" t="s">
        <v>34</v>
      </c>
      <c r="C12" s="5" t="s">
        <v>35</v>
      </c>
      <c r="D12" s="5" t="s">
        <v>23</v>
      </c>
      <c r="E12" s="6">
        <v>35</v>
      </c>
      <c r="F12" s="5" t="s">
        <v>11</v>
      </c>
    </row>
    <row r="13" spans="1:9" ht="20" customHeight="1">
      <c r="A13" s="4" t="s">
        <v>36</v>
      </c>
      <c r="B13" s="5" t="s">
        <v>37</v>
      </c>
      <c r="C13" s="5" t="s">
        <v>9</v>
      </c>
      <c r="D13" s="5" t="s">
        <v>10</v>
      </c>
      <c r="E13" s="6">
        <v>40</v>
      </c>
      <c r="F13" s="5" t="s">
        <v>11</v>
      </c>
    </row>
    <row r="14" spans="1:9" ht="20" customHeight="1">
      <c r="A14" s="4" t="s">
        <v>38</v>
      </c>
      <c r="B14" s="5" t="s">
        <v>39</v>
      </c>
      <c r="C14" s="5" t="s">
        <v>40</v>
      </c>
      <c r="D14" s="5" t="s">
        <v>15</v>
      </c>
      <c r="E14" s="6">
        <v>80</v>
      </c>
      <c r="F14" s="5" t="s">
        <v>11</v>
      </c>
    </row>
    <row r="15" spans="1:9" ht="20" customHeight="1">
      <c r="A15" s="4" t="s">
        <v>41</v>
      </c>
      <c r="B15" s="5" t="s">
        <v>42</v>
      </c>
      <c r="C15" s="5" t="s">
        <v>43</v>
      </c>
      <c r="D15" s="5" t="s">
        <v>19</v>
      </c>
      <c r="E15" s="6">
        <v>10</v>
      </c>
      <c r="F15" s="5" t="s">
        <v>11</v>
      </c>
    </row>
    <row r="16" spans="1:9" ht="20" customHeight="1">
      <c r="A16" s="4" t="s">
        <v>44</v>
      </c>
      <c r="B16" s="5" t="s">
        <v>45</v>
      </c>
      <c r="C16" s="5" t="s">
        <v>46</v>
      </c>
      <c r="D16" s="5" t="s">
        <v>23</v>
      </c>
      <c r="E16" s="6">
        <v>90</v>
      </c>
      <c r="F16" s="5" t="s">
        <v>11</v>
      </c>
    </row>
    <row r="17" spans="1:6" ht="20" customHeight="1">
      <c r="A17" s="4" t="s">
        <v>47</v>
      </c>
      <c r="B17" s="5" t="s">
        <v>48</v>
      </c>
      <c r="C17" s="5" t="s">
        <v>49</v>
      </c>
      <c r="D17" s="5" t="s">
        <v>10</v>
      </c>
      <c r="E17" s="6">
        <v>40</v>
      </c>
      <c r="F17" s="5" t="s">
        <v>11</v>
      </c>
    </row>
    <row r="18" spans="1:6" ht="20" customHeight="1">
      <c r="A18" s="4" t="s">
        <v>50</v>
      </c>
      <c r="B18" s="5" t="s">
        <v>51</v>
      </c>
      <c r="C18" s="5" t="s">
        <v>52</v>
      </c>
      <c r="D18" s="5" t="s">
        <v>15</v>
      </c>
      <c r="E18" s="6">
        <v>150</v>
      </c>
      <c r="F18" s="5" t="s">
        <v>11</v>
      </c>
    </row>
    <row r="19" spans="1:6" ht="20" customHeight="1">
      <c r="A19" s="4" t="s">
        <v>53</v>
      </c>
      <c r="B19" s="5" t="s">
        <v>54</v>
      </c>
      <c r="C19" s="5" t="s">
        <v>55</v>
      </c>
      <c r="D19" s="5" t="s">
        <v>19</v>
      </c>
      <c r="E19" s="6">
        <v>15</v>
      </c>
      <c r="F19" s="5" t="s">
        <v>11</v>
      </c>
    </row>
    <row r="20" spans="1:6" ht="22" customHeight="1">
      <c r="A20" s="7" t="s">
        <v>56</v>
      </c>
      <c r="B20" s="7"/>
      <c r="C20" s="7"/>
      <c r="D20" s="7"/>
      <c r="E20" s="8">
        <f>SUM(E5:E19)</f>
        <v>0</v>
      </c>
      <c r="F20" s="7"/>
    </row>
  </sheetData>
  <mergeCells count="1"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de Caja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2026-07-17T20:44:36Z</dcterms:created>
  <dcterms:modified xsi:type="dcterms:W3CDTF">2026-07-17T20:44:36Z</dcterms:modified>
</cp:coreProperties>
</file>