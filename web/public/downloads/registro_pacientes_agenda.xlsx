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nda Diaria" sheetId="1" r:id="rId1"/>
  </sheets>
  <calcPr calcId="124519" fullCalcOnLoad="1"/>
</workbook>
</file>

<file path=xl/sharedStrings.xml><?xml version="1.0" encoding="utf-8"?>
<sst xmlns="http://schemas.openxmlformats.org/spreadsheetml/2006/main" count="97" uniqueCount="74">
  <si>
    <t>Agenda del Día e Ingreso de Pacientes (12 Turnos)</t>
  </si>
  <si>
    <t>Hora</t>
  </si>
  <si>
    <t>Paciente</t>
  </si>
  <si>
    <t>Cédula (EC)</t>
  </si>
  <si>
    <t>Celular</t>
  </si>
  <si>
    <t>Médico</t>
  </si>
  <si>
    <t>Motivo de Cita</t>
  </si>
  <si>
    <t>Estado</t>
  </si>
  <si>
    <t>08:00</t>
  </si>
  <si>
    <t>Juan Manuel Carrión</t>
  </si>
  <si>
    <t>1714429810</t>
  </si>
  <si>
    <t>0984762112</t>
  </si>
  <si>
    <t>Dr. Alejandro Vaca</t>
  </si>
  <si>
    <t>Consulta General</t>
  </si>
  <si>
    <t>Atendido</t>
  </si>
  <si>
    <t>08:30</t>
  </si>
  <si>
    <t>Sofía Isabel Cevallos</t>
  </si>
  <si>
    <t>0928731998</t>
  </si>
  <si>
    <t>0968112344</t>
  </si>
  <si>
    <t>Dr. Jaime Noboa</t>
  </si>
  <si>
    <t>Chequeo General</t>
  </si>
  <si>
    <t>09:00</t>
  </si>
  <si>
    <t>Martha Cecilia Tipán</t>
  </si>
  <si>
    <t>Control Post-Operatorio</t>
  </si>
  <si>
    <t>09:30</t>
  </si>
  <si>
    <t>Jorge Patricio Quishpe</t>
  </si>
  <si>
    <t>0502123984</t>
  </si>
  <si>
    <t>0995123491</t>
  </si>
  <si>
    <t>Dra. Patricia Ortiz</t>
  </si>
  <si>
    <t>Lumbalgia Aguda</t>
  </si>
  <si>
    <t>En Espera</t>
  </si>
  <si>
    <t>10:00</t>
  </si>
  <si>
    <t>Lucía Nicole Mendoza</t>
  </si>
  <si>
    <t>Chequeo Preventivo</t>
  </si>
  <si>
    <t>Agendado</t>
  </si>
  <si>
    <t>10:30</t>
  </si>
  <si>
    <t>Carlos Andrés Rivadeneira</t>
  </si>
  <si>
    <t>1802145395</t>
  </si>
  <si>
    <t>0987123990</t>
  </si>
  <si>
    <t>Hipertensión Arterial</t>
  </si>
  <si>
    <t>11:00</t>
  </si>
  <si>
    <t>Gabriela Estefanía Cifuentes</t>
  </si>
  <si>
    <t>1723145980</t>
  </si>
  <si>
    <t>0956123400</t>
  </si>
  <si>
    <t>Evaluación Inicial</t>
  </si>
  <si>
    <t>Cancelado</t>
  </si>
  <si>
    <t>11:30</t>
  </si>
  <si>
    <t>Esteban Daniel Cobo</t>
  </si>
  <si>
    <t>1718223910</t>
  </si>
  <si>
    <t>0998123009</t>
  </si>
  <si>
    <t>Control Diabetes</t>
  </si>
  <si>
    <t>12:00</t>
  </si>
  <si>
    <t>María Carmen Luna</t>
  </si>
  <si>
    <t>0601249850</t>
  </si>
  <si>
    <t>0978123456</t>
  </si>
  <si>
    <t>Dra. Carmen Falconí</t>
  </si>
  <si>
    <t>Ginecología Control</t>
  </si>
  <si>
    <t>12:30</t>
  </si>
  <si>
    <t>Andrés Eduardo Ponce</t>
  </si>
  <si>
    <t>1722918820</t>
  </si>
  <si>
    <t>0995129922</t>
  </si>
  <si>
    <t>Dr. Francisco Salazar</t>
  </si>
  <si>
    <t>Consulta Especialidad</t>
  </si>
  <si>
    <t>14:00</t>
  </si>
  <si>
    <t>Lorena Isabel Narváez</t>
  </si>
  <si>
    <t>1719238410</t>
  </si>
  <si>
    <t>0988123490</t>
  </si>
  <si>
    <t>Control de Hernia</t>
  </si>
  <si>
    <t>14:30</t>
  </si>
  <si>
    <t>Felipe Roberto Castro</t>
  </si>
  <si>
    <t>0912389100</t>
  </si>
  <si>
    <t>0967112233</t>
  </si>
  <si>
    <t>Fisioterapia Sesión 2</t>
  </si>
  <si>
    <t>Resumen por Estado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</si>
</sst>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0F766E"/>
      <name val="Segoe UI"/>
      <family val="2"/>
    </font>
    <font>
      <b/>
      <sz val="11"/>
      <color rgb="FFFFFFFF"/>
      <name val="Segoe UI"/>
      <family val="2"/>
    </font>
    <font>
      <b/>
      <sz val="11"/>
      <color rgb="FF0F766E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Turnos del Día por Estado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Pacientes</c:v>
          </c:tx>
          <c:spPr>
            <a:solidFill>
              <a:srgbClr val="0F766E"/>
            </a:solidFill>
          </c:spPr>
          <c:cat>
            <c:strRef>
              <c:f>'Agenda Diaria'!$I$5:$I$8</c:f>
              <c:strCache>
                <c:ptCount val="4"/>
                <c:pt idx="0">
                  <c:v>Atendido</c:v>
                </c:pt>
                <c:pt idx="1">
                  <c:v>En Espera</c:v>
                </c:pt>
                <c:pt idx="2">
                  <c:v>Agendado</c:v>
                </c:pt>
                <c:pt idx="3">
                  <c:v>Cancelado</c:v>
                </c:pt>
              </c:strCache>
            </c:strRef>
          </c:cat>
          <c:val>
            <c:numRef>
              <c:f>'Agenda Diaria'!$J$5:$J$8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12</xdr:col>
      <xdr:colOff>171450</xdr:colOff>
      <xdr:row>18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6"/>
  <sheetViews>
    <sheetView showGridLines="0" tabSelected="1" workbookViewId="0"/>
  </sheetViews>
  <sheetFormatPr defaultRowHeight="15"/>
  <cols>
    <col min="1" max="1" width="10.7109375" customWidth="1"/>
    <col min="2" max="2" width="25.7109375" customWidth="1"/>
    <col min="3" max="3" width="18.7109375" customWidth="1"/>
    <col min="4" max="4" width="16.7109375" customWidth="1"/>
    <col min="5" max="5" width="22.7109375" customWidth="1"/>
    <col min="6" max="6" width="26.7109375" customWidth="1"/>
    <col min="7" max="7" width="15.7109375" customWidth="1"/>
    <col min="8" max="8" width="4.7109375" customWidth="1"/>
    <col min="9" max="9" width="18.7109375" customWidth="1"/>
    <col min="10" max="10" width="14.7109375" customWidth="1"/>
  </cols>
  <sheetData>
    <row r="2" spans="1:10" ht="35" customHeight="1">
      <c r="A2" s="1" t="s">
        <v>0</v>
      </c>
      <c r="B2" s="1"/>
      <c r="C2" s="1"/>
      <c r="D2" s="1"/>
      <c r="E2" s="1"/>
      <c r="F2" s="1"/>
    </row>
    <row r="4" spans="1:10" ht="26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I4" s="3" t="s">
        <v>73</v>
      </c>
    </row>
    <row r="5" spans="1:10" ht="20" customHeight="1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I5" s="4" t="s">
        <v>14</v>
      </c>
      <c r="J5" s="4">
        <f>COUNTIF(G5:G16, "Atendido")</f>
        <v>0</v>
      </c>
    </row>
    <row r="6" spans="1:10" ht="20" customHeight="1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14</v>
      </c>
      <c r="I6" s="4" t="s">
        <v>30</v>
      </c>
      <c r="J6" s="4">
        <f>COUNTIF(G5:G16, "En Espera")</f>
        <v>0</v>
      </c>
    </row>
    <row r="7" spans="1:10" ht="20" customHeight="1">
      <c r="A7" s="4" t="s">
        <v>21</v>
      </c>
      <c r="B7" s="4" t="s">
        <v>22</v>
      </c>
      <c r="C7" s="4" t="s">
        <v>10</v>
      </c>
      <c r="D7" s="4" t="s">
        <v>11</v>
      </c>
      <c r="E7" s="4" t="s">
        <v>12</v>
      </c>
      <c r="F7" s="4" t="s">
        <v>23</v>
      </c>
      <c r="G7" s="4" t="s">
        <v>14</v>
      </c>
      <c r="I7" s="4" t="s">
        <v>34</v>
      </c>
      <c r="J7" s="4">
        <f>COUNTIF(G5:G16, "Agendado")</f>
        <v>0</v>
      </c>
    </row>
    <row r="8" spans="1:10" ht="20" customHeight="1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I8" s="4" t="s">
        <v>45</v>
      </c>
      <c r="J8" s="4">
        <f>COUNTIF(G5:G16, "Cancelado")</f>
        <v>0</v>
      </c>
    </row>
    <row r="9" spans="1:10" ht="20" customHeight="1">
      <c r="A9" s="4" t="s">
        <v>31</v>
      </c>
      <c r="B9" s="4" t="s">
        <v>32</v>
      </c>
      <c r="C9" s="4" t="s">
        <v>17</v>
      </c>
      <c r="D9" s="4" t="s">
        <v>18</v>
      </c>
      <c r="E9" s="4" t="s">
        <v>12</v>
      </c>
      <c r="F9" s="4" t="s">
        <v>33</v>
      </c>
      <c r="G9" s="4" t="s">
        <v>34</v>
      </c>
    </row>
    <row r="10" spans="1:10" ht="20" customHeight="1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19</v>
      </c>
      <c r="F10" s="4" t="s">
        <v>39</v>
      </c>
      <c r="G10" s="4" t="s">
        <v>34</v>
      </c>
    </row>
    <row r="11" spans="1:10" ht="20" customHeight="1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28</v>
      </c>
      <c r="F11" s="4" t="s">
        <v>44</v>
      </c>
      <c r="G11" s="4" t="s">
        <v>45</v>
      </c>
    </row>
    <row r="12" spans="1:10" ht="20" customHeight="1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19</v>
      </c>
      <c r="F12" s="4" t="s">
        <v>50</v>
      </c>
      <c r="G12" s="4" t="s">
        <v>34</v>
      </c>
    </row>
    <row r="13" spans="1:10" ht="20" customHeight="1">
      <c r="A13" s="4" t="s">
        <v>51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56</v>
      </c>
      <c r="G13" s="4" t="s">
        <v>34</v>
      </c>
    </row>
    <row r="14" spans="1:10" ht="20" customHeight="1">
      <c r="A14" s="4" t="s">
        <v>57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62</v>
      </c>
      <c r="G14" s="4" t="s">
        <v>34</v>
      </c>
    </row>
    <row r="15" spans="1:10" ht="20" customHeight="1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61</v>
      </c>
      <c r="F15" s="4" t="s">
        <v>67</v>
      </c>
      <c r="G15" s="4" t="s">
        <v>34</v>
      </c>
    </row>
    <row r="16" spans="1:10" ht="20" customHeight="1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28</v>
      </c>
      <c r="F16" s="4" t="s">
        <v>72</v>
      </c>
      <c r="G16" s="4" t="s">
        <v>34</v>
      </c>
    </row>
  </sheetData>
  <mergeCells count="1"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 Diaria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2026-07-17T20:44:36Z</dcterms:created>
  <dcterms:modified xsi:type="dcterms:W3CDTF">2026-07-17T20:44:36Z</dcterms:modified>
</cp:coreProperties>
</file>